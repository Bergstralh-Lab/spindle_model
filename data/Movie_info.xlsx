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Volumes/dtb7yr-lab/Alikhan/spindle_9214/Endo/"/>
    </mc:Choice>
  </mc:AlternateContent>
  <xr:revisionPtr revIDLastSave="0" documentId="13_ncr:1_{C38D0F8D-FC32-D948-8CA8-9583E710CBF6}" xr6:coauthVersionLast="47" xr6:coauthVersionMax="47" xr10:uidLastSave="{00000000-0000-0000-0000-000000000000}"/>
  <bookViews>
    <workbookView xWindow="2540" yWindow="1540" windowWidth="32320" windowHeight="17100" xr2:uid="{A290B85B-B0AE-B741-84A7-7A42276FFFC7}"/>
  </bookViews>
  <sheets>
    <sheet name="Alikhan" sheetId="1" r:id="rId1"/>
    <sheet name="Elija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" i="1" l="1"/>
  <c r="AE4" i="1"/>
  <c r="AE6" i="1"/>
  <c r="AE8" i="1"/>
  <c r="AE10" i="1"/>
  <c r="AE11" i="1"/>
  <c r="AE12" i="1"/>
  <c r="AE13" i="1"/>
  <c r="AE14" i="1"/>
  <c r="AE15" i="1"/>
  <c r="AE16" i="1"/>
  <c r="AE2" i="1"/>
  <c r="AC3" i="1"/>
  <c r="AD3" i="1" s="1"/>
  <c r="AC4" i="1"/>
  <c r="AD4" i="1" s="1"/>
  <c r="AC6" i="1"/>
  <c r="AD6" i="1" s="1"/>
  <c r="AC8" i="1"/>
  <c r="AD8" i="1" s="1"/>
  <c r="AC10" i="1"/>
  <c r="AD10" i="1" s="1"/>
  <c r="AC11" i="1"/>
  <c r="AD11" i="1" s="1"/>
  <c r="AC12" i="1"/>
  <c r="AD12" i="1" s="1"/>
  <c r="AC13" i="1"/>
  <c r="AD13" i="1" s="1"/>
  <c r="AC14" i="1"/>
  <c r="AD14" i="1" s="1"/>
  <c r="AC15" i="1"/>
  <c r="AD15" i="1" s="1"/>
  <c r="AC16" i="1"/>
  <c r="AD16" i="1" s="1"/>
  <c r="AD2" i="1"/>
  <c r="AC2" i="1"/>
  <c r="Z16" i="1"/>
  <c r="Z3" i="1"/>
  <c r="Z4" i="1"/>
  <c r="Z6" i="1"/>
  <c r="Z8" i="1"/>
  <c r="Z10" i="1"/>
  <c r="Z11" i="1"/>
  <c r="Z12" i="1"/>
  <c r="Z13" i="1"/>
  <c r="Z14" i="1"/>
  <c r="Z15" i="1"/>
  <c r="Z2" i="1"/>
  <c r="K16" i="1"/>
  <c r="K4" i="1"/>
  <c r="T3" i="1"/>
  <c r="F13" i="1"/>
  <c r="F12" i="1"/>
  <c r="F3" i="1"/>
  <c r="F4" i="1"/>
  <c r="F5" i="1"/>
  <c r="F6" i="1"/>
  <c r="F7" i="1"/>
  <c r="F8" i="1"/>
  <c r="F9" i="1"/>
  <c r="F2" i="1"/>
  <c r="J7" i="1"/>
  <c r="N7" i="1" s="1"/>
  <c r="J8" i="1"/>
  <c r="N8" i="1" s="1"/>
  <c r="J9" i="1"/>
  <c r="N9" i="1" s="1"/>
  <c r="J10" i="1"/>
  <c r="N10" i="1" s="1"/>
  <c r="J11" i="1"/>
  <c r="N11" i="1" s="1"/>
  <c r="J12" i="1"/>
  <c r="N12" i="1" s="1"/>
  <c r="J13" i="1"/>
  <c r="N13" i="1" s="1"/>
  <c r="J6" i="1"/>
  <c r="N6" i="1" s="1"/>
  <c r="J5" i="1"/>
  <c r="N5" i="1" s="1"/>
  <c r="J4" i="1"/>
  <c r="N4" i="1" s="1"/>
  <c r="J3" i="1"/>
  <c r="N3" i="1" s="1"/>
  <c r="J2" i="1"/>
  <c r="N2" i="1" s="1"/>
</calcChain>
</file>

<file path=xl/sharedStrings.xml><?xml version="1.0" encoding="utf-8"?>
<sst xmlns="http://schemas.openxmlformats.org/spreadsheetml/2006/main" count="58" uniqueCount="52">
  <si>
    <t>Cell</t>
  </si>
  <si>
    <t>Frame rate (sec)</t>
  </si>
  <si>
    <t>Need to check</t>
  </si>
  <si>
    <t>Spindle length</t>
  </si>
  <si>
    <t>N images</t>
  </si>
  <si>
    <t>ana onset</t>
  </si>
  <si>
    <t>Final spindle position</t>
  </si>
  <si>
    <t>Initial angle</t>
  </si>
  <si>
    <t>Final angle</t>
  </si>
  <si>
    <t>metaphase</t>
  </si>
  <si>
    <t>Frame rate</t>
  </si>
  <si>
    <t>anaphase onset</t>
  </si>
  <si>
    <t>y-length</t>
  </si>
  <si>
    <t>model y-length</t>
  </si>
  <si>
    <t>scale factor</t>
  </si>
  <si>
    <t>model scale factor</t>
  </si>
  <si>
    <t>y-final</t>
  </si>
  <si>
    <t>delta</t>
  </si>
  <si>
    <t>Junction angle initial</t>
  </si>
  <si>
    <t>Junction angle final</t>
  </si>
  <si>
    <t>Spindle width</t>
  </si>
  <si>
    <t>long axis ellipse</t>
  </si>
  <si>
    <t>long axis rect</t>
  </si>
  <si>
    <t>115.34617805480957,</t>
  </si>
  <si>
    <t xml:space="preserve"> 83.13249206542969,</t>
  </si>
  <si>
    <t xml:space="preserve"> 109.02560615539551,</t>
  </si>
  <si>
    <t xml:space="preserve"> 96.45881652832031,</t>
  </si>
  <si>
    <t xml:space="preserve"> 108.09244918823242,</t>
  </si>
  <si>
    <t xml:space="preserve"> 97.28402328491211,</t>
  </si>
  <si>
    <t xml:space="preserve"> 110.75647926330566,</t>
  </si>
  <si>
    <t xml:space="preserve"> 90.21507324278355,</t>
  </si>
  <si>
    <t xml:space="preserve"> 69.573974609375,</t>
  </si>
  <si>
    <t xml:space="preserve"> 107.41797065734863,</t>
  </si>
  <si>
    <t xml:space="preserve"> 100.7388973236084,</t>
  </si>
  <si>
    <t xml:space="preserve"> 100.3888578414917,</t>
  </si>
  <si>
    <t xml:space="preserve"> 157.92279815673828,</t>
  </si>
  <si>
    <t>Area ratio</t>
  </si>
  <si>
    <t>long axis PCA</t>
  </si>
  <si>
    <t>Cell LIE x</t>
  </si>
  <si>
    <t>Cell LIE y</t>
  </si>
  <si>
    <t>LIE area</t>
  </si>
  <si>
    <t>2.0005586058915847</t>
  </si>
  <si>
    <t>2.2035451617970794</t>
  </si>
  <si>
    <t>1.7754381366246745</t>
  </si>
  <si>
    <t>1.9684243183170258</t>
  </si>
  <si>
    <t>2.2531128816696446</t>
  </si>
  <si>
    <t>1.2618655828711551</t>
  </si>
  <si>
    <t>1.6459234827056584</t>
  </si>
  <si>
    <t>2.3131177062685833</t>
  </si>
  <si>
    <t>1.7016237228689537</t>
  </si>
  <si>
    <t>Model initial angle (rad)</t>
  </si>
  <si>
    <t>Model initial angle (deg)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</si>
</sst>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000000"/>
      <name val="Calibri"/>
      <family val="2"/>
      <scheme val="minor"/>
    </font>
    <font>
      <sz val="12"/>
      <name val="Calibri"/>
      <family val="2"/>
      <scheme val="minor"/>
    </font>
    <font>
      <sz val="10"/>
      <color rgb="FF000000"/>
      <name val="Helvetica Neue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1" fillId="2" borderId="0" xfId="0" applyFont="1" applyFill="1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0" fillId="3" borderId="0" xfId="0" applyFill="1"/>
    <xf numFmtId="0" fontId="0" fillId="4" borderId="0" xfId="0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BECC8-2C70-DF45-8D51-54107592CED7}">
  <sheetPr codeName="Sheet1"/>
  <dimension ref="A1:AE37"/>
  <sheetViews>
    <sheetView tabSelected="1" zoomScale="75" zoomScaleNormal="150" workbookViewId="0">
      <selection activeCell="AC30" sqref="AC30"/>
    </sheetView>
  </sheetViews>
  <sheetFormatPr baseColWidth="10" defaultRowHeight="16" x14ac:dyDescent="0.2"/>
  <cols>
    <col min="1" max="1" width="5.6640625" customWidth="1"/>
    <col min="2" max="2" width="6" customWidth="1"/>
    <col min="3" max="3" width="5.6640625" customWidth="1"/>
    <col min="4" max="4" width="9.1640625" customWidth="1"/>
    <col min="5" max="5" width="6.83203125" customWidth="1"/>
    <col min="6" max="6" width="6" customWidth="1"/>
    <col min="7" max="7" width="4.1640625" customWidth="1"/>
    <col min="13" max="13" width="9.83203125" customWidth="1"/>
    <col min="16" max="16" width="10.83203125" customWidth="1"/>
    <col min="28" max="28" width="29.5" customWidth="1"/>
    <col min="29" max="29" width="28.6640625" customWidth="1"/>
  </cols>
  <sheetData>
    <row r="1" spans="1:31" x14ac:dyDescent="0.2">
      <c r="A1" t="s">
        <v>0</v>
      </c>
      <c r="B1" t="s">
        <v>10</v>
      </c>
      <c r="C1" t="s">
        <v>4</v>
      </c>
      <c r="D1" t="s">
        <v>3</v>
      </c>
      <c r="E1" t="s">
        <v>20</v>
      </c>
      <c r="F1" t="s">
        <v>11</v>
      </c>
      <c r="G1" t="s">
        <v>9</v>
      </c>
      <c r="H1" t="s">
        <v>12</v>
      </c>
      <c r="I1" t="s">
        <v>13</v>
      </c>
      <c r="J1" t="s">
        <v>14</v>
      </c>
      <c r="K1" t="s">
        <v>21</v>
      </c>
      <c r="L1" t="s">
        <v>37</v>
      </c>
      <c r="M1" t="s">
        <v>22</v>
      </c>
      <c r="N1" t="s">
        <v>15</v>
      </c>
      <c r="O1" t="s">
        <v>16</v>
      </c>
      <c r="P1" t="s">
        <v>7</v>
      </c>
      <c r="Q1" t="s">
        <v>8</v>
      </c>
      <c r="R1" t="s">
        <v>18</v>
      </c>
      <c r="S1" t="s">
        <v>17</v>
      </c>
      <c r="T1" t="s">
        <v>19</v>
      </c>
      <c r="U1" t="s">
        <v>36</v>
      </c>
      <c r="V1" t="s">
        <v>38</v>
      </c>
      <c r="W1" t="s">
        <v>39</v>
      </c>
      <c r="X1" t="s">
        <v>40</v>
      </c>
      <c r="AB1" t="s">
        <v>50</v>
      </c>
      <c r="AC1" t="s">
        <v>51</v>
      </c>
    </row>
    <row r="2" spans="1:31" x14ac:dyDescent="0.2">
      <c r="A2">
        <v>1</v>
      </c>
      <c r="B2">
        <v>21</v>
      </c>
      <c r="C2">
        <v>12</v>
      </c>
      <c r="D2">
        <v>7.5890190892265705</v>
      </c>
      <c r="E2">
        <v>5.5</v>
      </c>
      <c r="F2">
        <f t="shared" ref="F2:F9" si="0">C2</f>
        <v>12</v>
      </c>
      <c r="G2">
        <v>1</v>
      </c>
      <c r="H2">
        <v>38</v>
      </c>
      <c r="I2">
        <v>124</v>
      </c>
      <c r="J2">
        <f t="shared" ref="J2:J13" si="1">I2/H2</f>
        <v>3.263157894736842</v>
      </c>
      <c r="K2" s="9">
        <v>115</v>
      </c>
      <c r="L2" s="10">
        <v>110.114732994637</v>
      </c>
      <c r="M2" t="s">
        <v>23</v>
      </c>
      <c r="N2">
        <f t="shared" ref="N2:N13" si="2">10*J2</f>
        <v>32.631578947368418</v>
      </c>
      <c r="O2">
        <v>-7.58</v>
      </c>
      <c r="P2">
        <v>110</v>
      </c>
      <c r="Q2">
        <v>110</v>
      </c>
      <c r="R2">
        <v>287.39</v>
      </c>
      <c r="S2">
        <v>8</v>
      </c>
      <c r="T2">
        <v>287</v>
      </c>
      <c r="U2" s="10">
        <v>1.7865821352692499</v>
      </c>
      <c r="V2" s="9">
        <v>0.75414243046572105</v>
      </c>
      <c r="W2" s="9">
        <v>-3.4539598206840001</v>
      </c>
      <c r="X2" s="11">
        <v>188.495559215388</v>
      </c>
      <c r="Z2">
        <f>L2-Q2</f>
        <v>0.11473299463699504</v>
      </c>
      <c r="AB2" t="s">
        <v>41</v>
      </c>
      <c r="AC2">
        <f>DEGREES(AB2)</f>
        <v>114.62356478616331</v>
      </c>
      <c r="AD2">
        <f>L2-AC2</f>
        <v>-4.508831791526319</v>
      </c>
      <c r="AE2">
        <f>AC2-P2</f>
        <v>4.623564786163314</v>
      </c>
    </row>
    <row r="3" spans="1:31" x14ac:dyDescent="0.2">
      <c r="A3">
        <v>2</v>
      </c>
      <c r="B3">
        <v>21</v>
      </c>
      <c r="C3">
        <v>10</v>
      </c>
      <c r="D3">
        <v>6.1558941078861782</v>
      </c>
      <c r="E3">
        <v>5.73</v>
      </c>
      <c r="F3">
        <f t="shared" si="0"/>
        <v>10</v>
      </c>
      <c r="G3">
        <v>1</v>
      </c>
      <c r="H3">
        <v>45.68</v>
      </c>
      <c r="I3">
        <v>148</v>
      </c>
      <c r="J3">
        <f t="shared" si="1"/>
        <v>3.2399299474605954</v>
      </c>
      <c r="K3" s="9">
        <v>110</v>
      </c>
      <c r="L3" s="10">
        <v>99.060285272507898</v>
      </c>
      <c r="M3" t="s">
        <v>33</v>
      </c>
      <c r="N3">
        <f t="shared" si="2"/>
        <v>32.399299474605954</v>
      </c>
      <c r="O3">
        <v>-2.15</v>
      </c>
      <c r="P3">
        <v>90</v>
      </c>
      <c r="Q3">
        <v>105</v>
      </c>
      <c r="R3">
        <v>290</v>
      </c>
      <c r="S3">
        <v>15</v>
      </c>
      <c r="T3">
        <f>285</f>
        <v>285</v>
      </c>
      <c r="U3" s="10">
        <v>1.81667250227872</v>
      </c>
      <c r="V3" s="9">
        <v>-0.75338172267904702</v>
      </c>
      <c r="W3" s="9">
        <v>1.7000464233465</v>
      </c>
      <c r="X3" s="11">
        <v>113.09733552923301</v>
      </c>
      <c r="Z3">
        <f t="shared" ref="Z3:Z15" si="3">L3-Q3</f>
        <v>-5.9397147274921025</v>
      </c>
      <c r="AB3" t="s">
        <v>42</v>
      </c>
      <c r="AC3">
        <f t="shared" ref="AC3:AC16" si="4">DEGREES(AB3)</f>
        <v>126.25383773744424</v>
      </c>
      <c r="AD3">
        <f t="shared" ref="AD3:AD16" si="5">L3-AC3</f>
        <v>-27.193552464936346</v>
      </c>
      <c r="AE3">
        <f t="shared" ref="AE3:AE16" si="6">AC3-P3</f>
        <v>36.253837737444243</v>
      </c>
    </row>
    <row r="4" spans="1:31" x14ac:dyDescent="0.2">
      <c r="A4">
        <v>3</v>
      </c>
      <c r="B4">
        <v>60</v>
      </c>
      <c r="C4">
        <v>7</v>
      </c>
      <c r="D4">
        <v>6.6</v>
      </c>
      <c r="E4">
        <v>6.6</v>
      </c>
      <c r="F4">
        <f t="shared" si="0"/>
        <v>7</v>
      </c>
      <c r="G4">
        <v>1</v>
      </c>
      <c r="H4">
        <v>67.209999999999994</v>
      </c>
      <c r="I4">
        <v>389</v>
      </c>
      <c r="J4">
        <f t="shared" si="1"/>
        <v>5.7878291920845122</v>
      </c>
      <c r="K4" s="9">
        <f>177.5-90</f>
        <v>87.5</v>
      </c>
      <c r="L4" s="10">
        <v>84.948412892249706</v>
      </c>
      <c r="M4" t="s">
        <v>24</v>
      </c>
      <c r="N4">
        <f t="shared" si="2"/>
        <v>57.878291920845122</v>
      </c>
      <c r="O4">
        <v>-6.77</v>
      </c>
      <c r="P4">
        <v>90</v>
      </c>
      <c r="Q4">
        <v>103</v>
      </c>
      <c r="R4">
        <v>270</v>
      </c>
      <c r="S4">
        <v>15</v>
      </c>
      <c r="T4">
        <v>271</v>
      </c>
      <c r="U4" s="10">
        <v>4.3895468000173201</v>
      </c>
      <c r="V4" s="9">
        <v>1.0280123612663099</v>
      </c>
      <c r="W4" s="9">
        <v>-2.1882022532363701</v>
      </c>
      <c r="X4" s="11">
        <v>120.16591899981</v>
      </c>
      <c r="Z4">
        <f t="shared" si="3"/>
        <v>-18.051587107750294</v>
      </c>
      <c r="AB4">
        <v>1.7681918866447699</v>
      </c>
      <c r="AC4">
        <f t="shared" si="4"/>
        <v>101.30993247401979</v>
      </c>
      <c r="AD4">
        <f t="shared" si="5"/>
        <v>-16.361519581770082</v>
      </c>
      <c r="AE4">
        <f t="shared" si="6"/>
        <v>11.309932474019789</v>
      </c>
    </row>
    <row r="5" spans="1:31" x14ac:dyDescent="0.2">
      <c r="A5">
        <v>4</v>
      </c>
      <c r="B5">
        <v>60</v>
      </c>
      <c r="C5">
        <v>11</v>
      </c>
      <c r="F5">
        <f t="shared" si="0"/>
        <v>11</v>
      </c>
      <c r="G5">
        <v>2</v>
      </c>
      <c r="H5">
        <v>41.33</v>
      </c>
      <c r="I5">
        <v>238</v>
      </c>
      <c r="J5">
        <f t="shared" si="1"/>
        <v>5.7585289136220661</v>
      </c>
      <c r="K5" s="9">
        <v>90</v>
      </c>
      <c r="L5" s="10"/>
      <c r="N5">
        <f t="shared" si="2"/>
        <v>57.585289136220659</v>
      </c>
      <c r="O5">
        <v>0</v>
      </c>
      <c r="P5">
        <v>90</v>
      </c>
      <c r="Q5">
        <v>90</v>
      </c>
    </row>
    <row r="6" spans="1:31" x14ac:dyDescent="0.2">
      <c r="A6">
        <v>5</v>
      </c>
      <c r="B6">
        <v>60</v>
      </c>
      <c r="C6">
        <v>8</v>
      </c>
      <c r="D6">
        <v>8.7456235365226735</v>
      </c>
      <c r="E6">
        <v>5</v>
      </c>
      <c r="F6">
        <f t="shared" si="0"/>
        <v>8</v>
      </c>
      <c r="G6">
        <v>1</v>
      </c>
      <c r="H6">
        <v>51.07</v>
      </c>
      <c r="I6">
        <v>293</v>
      </c>
      <c r="J6">
        <f t="shared" si="1"/>
        <v>5.7372234188368907</v>
      </c>
      <c r="K6" s="9">
        <v>107.5</v>
      </c>
      <c r="L6" s="10">
        <v>106.52650172739099</v>
      </c>
      <c r="M6" t="s">
        <v>25</v>
      </c>
      <c r="N6">
        <f t="shared" si="2"/>
        <v>57.372234188368907</v>
      </c>
      <c r="O6">
        <v>-5.9</v>
      </c>
      <c r="P6">
        <v>103.78</v>
      </c>
      <c r="Q6">
        <v>115.41</v>
      </c>
      <c r="R6">
        <v>293.77999999999997</v>
      </c>
      <c r="S6">
        <v>15</v>
      </c>
      <c r="T6">
        <v>293</v>
      </c>
      <c r="U6" s="10">
        <v>2.4140624260864798</v>
      </c>
      <c r="V6" s="9">
        <v>1.3813064334690099</v>
      </c>
      <c r="W6" s="9">
        <v>-3.0065436359619899</v>
      </c>
      <c r="X6" s="11">
        <v>100.530964914873</v>
      </c>
      <c r="Z6">
        <f t="shared" si="3"/>
        <v>-8.8834982726090033</v>
      </c>
      <c r="AB6" t="s">
        <v>43</v>
      </c>
      <c r="AC6">
        <f t="shared" si="4"/>
        <v>101.72511201516483</v>
      </c>
      <c r="AD6">
        <f t="shared" si="5"/>
        <v>4.8013897122261682</v>
      </c>
      <c r="AE6">
        <f t="shared" si="6"/>
        <v>-2.054887984835176</v>
      </c>
    </row>
    <row r="7" spans="1:31" x14ac:dyDescent="0.2">
      <c r="A7">
        <v>6</v>
      </c>
      <c r="B7">
        <v>37</v>
      </c>
      <c r="C7">
        <v>25</v>
      </c>
      <c r="D7">
        <v>8.5893031539999996</v>
      </c>
      <c r="E7">
        <v>7.31</v>
      </c>
      <c r="F7">
        <f t="shared" si="0"/>
        <v>25</v>
      </c>
      <c r="G7">
        <v>7</v>
      </c>
      <c r="H7">
        <v>27.86</v>
      </c>
      <c r="I7">
        <v>464</v>
      </c>
      <c r="J7">
        <f t="shared" si="1"/>
        <v>16.654702081837762</v>
      </c>
      <c r="K7" s="9">
        <v>105</v>
      </c>
      <c r="L7" s="10"/>
      <c r="M7" t="s">
        <v>34</v>
      </c>
      <c r="N7">
        <f t="shared" si="2"/>
        <v>166.54702081837763</v>
      </c>
      <c r="O7">
        <v>-3.75</v>
      </c>
      <c r="P7">
        <v>76.55</v>
      </c>
      <c r="Q7">
        <v>105.07</v>
      </c>
      <c r="R7">
        <v>305</v>
      </c>
      <c r="S7">
        <v>9</v>
      </c>
      <c r="T7">
        <v>290</v>
      </c>
    </row>
    <row r="8" spans="1:31" x14ac:dyDescent="0.2">
      <c r="A8">
        <v>7</v>
      </c>
      <c r="B8">
        <v>22</v>
      </c>
      <c r="C8">
        <v>23</v>
      </c>
      <c r="D8">
        <v>7.8525361587160036</v>
      </c>
      <c r="E8">
        <v>6.08</v>
      </c>
      <c r="F8">
        <f t="shared" si="0"/>
        <v>23</v>
      </c>
      <c r="G8">
        <v>1</v>
      </c>
      <c r="H8">
        <v>31.45</v>
      </c>
      <c r="I8">
        <v>263</v>
      </c>
      <c r="J8">
        <f t="shared" si="1"/>
        <v>8.362480127186009</v>
      </c>
      <c r="K8" s="9">
        <v>97.5</v>
      </c>
      <c r="L8" s="10">
        <v>92.9537065221635</v>
      </c>
      <c r="M8" t="s">
        <v>26</v>
      </c>
      <c r="N8">
        <f t="shared" si="2"/>
        <v>83.624801271860093</v>
      </c>
      <c r="O8">
        <v>-11.91</v>
      </c>
      <c r="P8">
        <v>90</v>
      </c>
      <c r="Q8">
        <v>90</v>
      </c>
      <c r="R8">
        <v>275</v>
      </c>
      <c r="S8">
        <v>8</v>
      </c>
      <c r="T8">
        <v>276.43</v>
      </c>
      <c r="U8" s="10">
        <v>2.9209565779043301</v>
      </c>
      <c r="V8" s="9">
        <v>-0.84499680193868398</v>
      </c>
      <c r="W8" s="9">
        <v>-7.1115687447960001</v>
      </c>
      <c r="X8" s="11">
        <v>155.508836352695</v>
      </c>
      <c r="Z8">
        <f t="shared" si="3"/>
        <v>2.9537065221635004</v>
      </c>
      <c r="AB8" t="s">
        <v>44</v>
      </c>
      <c r="AC8">
        <f t="shared" si="4"/>
        <v>112.78240573048136</v>
      </c>
      <c r="AD8">
        <f t="shared" si="5"/>
        <v>-19.828699208317857</v>
      </c>
      <c r="AE8">
        <f t="shared" si="6"/>
        <v>22.782405730481358</v>
      </c>
    </row>
    <row r="9" spans="1:31" x14ac:dyDescent="0.2">
      <c r="A9">
        <v>8</v>
      </c>
      <c r="B9">
        <v>25</v>
      </c>
      <c r="C9">
        <v>27</v>
      </c>
      <c r="D9">
        <v>7.731187578822615</v>
      </c>
      <c r="E9">
        <v>5</v>
      </c>
      <c r="F9">
        <f t="shared" si="0"/>
        <v>27</v>
      </c>
      <c r="G9">
        <v>7</v>
      </c>
      <c r="H9">
        <v>24.61</v>
      </c>
      <c r="I9">
        <v>211</v>
      </c>
      <c r="J9">
        <f t="shared" si="1"/>
        <v>8.5737505079236076</v>
      </c>
      <c r="K9" s="9">
        <v>162.5</v>
      </c>
      <c r="L9" s="10"/>
      <c r="M9" t="s">
        <v>35</v>
      </c>
      <c r="N9">
        <f t="shared" si="2"/>
        <v>85.737505079236072</v>
      </c>
      <c r="O9">
        <v>0</v>
      </c>
      <c r="P9">
        <v>152.68</v>
      </c>
      <c r="Q9">
        <v>152.68</v>
      </c>
      <c r="R9">
        <v>273</v>
      </c>
      <c r="S9">
        <v>73</v>
      </c>
      <c r="T9">
        <v>274</v>
      </c>
    </row>
    <row r="10" spans="1:31" x14ac:dyDescent="0.2">
      <c r="A10">
        <v>9</v>
      </c>
      <c r="B10">
        <v>58</v>
      </c>
      <c r="C10">
        <v>13</v>
      </c>
      <c r="D10">
        <v>7.7252451061031167</v>
      </c>
      <c r="E10">
        <v>6.43</v>
      </c>
      <c r="F10">
        <v>12</v>
      </c>
      <c r="G10">
        <v>3</v>
      </c>
      <c r="H10">
        <v>45.57</v>
      </c>
      <c r="I10">
        <v>766</v>
      </c>
      <c r="J10">
        <f t="shared" si="1"/>
        <v>16.809304366908055</v>
      </c>
      <c r="K10" s="9">
        <v>120</v>
      </c>
      <c r="L10" s="10">
        <v>107.118004339908</v>
      </c>
      <c r="M10" t="s">
        <v>27</v>
      </c>
      <c r="N10">
        <f t="shared" si="2"/>
        <v>168.09304366908054</v>
      </c>
      <c r="O10">
        <v>3.81</v>
      </c>
      <c r="P10">
        <v>128.16</v>
      </c>
      <c r="Q10">
        <v>107.05</v>
      </c>
      <c r="R10">
        <v>307.12</v>
      </c>
      <c r="S10">
        <v>15</v>
      </c>
      <c r="T10">
        <v>307</v>
      </c>
      <c r="U10" s="10">
        <v>0.64931352898688499</v>
      </c>
      <c r="V10" s="9">
        <v>-2.2489168743788399</v>
      </c>
      <c r="W10" s="9">
        <v>3.2845661783166502</v>
      </c>
      <c r="X10" s="11">
        <v>120.16591899981</v>
      </c>
      <c r="Z10">
        <f t="shared" si="3"/>
        <v>6.8004339908000588E-2</v>
      </c>
      <c r="AB10" t="s">
        <v>45</v>
      </c>
      <c r="AC10">
        <f t="shared" si="4"/>
        <v>129.09385888622924</v>
      </c>
      <c r="AD10">
        <f t="shared" si="5"/>
        <v>-21.975854546321244</v>
      </c>
      <c r="AE10">
        <f t="shared" si="6"/>
        <v>0.9338588862292454</v>
      </c>
    </row>
    <row r="11" spans="1:31" x14ac:dyDescent="0.2">
      <c r="A11">
        <v>10</v>
      </c>
      <c r="B11">
        <v>23</v>
      </c>
      <c r="C11">
        <v>46</v>
      </c>
      <c r="D11" s="9">
        <v>6.7109750000000004</v>
      </c>
      <c r="E11">
        <v>5.37</v>
      </c>
      <c r="F11">
        <v>43</v>
      </c>
      <c r="G11">
        <v>7</v>
      </c>
      <c r="H11">
        <v>39.44</v>
      </c>
      <c r="I11">
        <v>331</v>
      </c>
      <c r="J11">
        <f t="shared" si="1"/>
        <v>8.3924949290060855</v>
      </c>
      <c r="K11" s="9">
        <v>105</v>
      </c>
      <c r="L11" s="10">
        <v>96.623445754728493</v>
      </c>
      <c r="M11" t="s">
        <v>28</v>
      </c>
      <c r="N11">
        <f t="shared" si="2"/>
        <v>83.924949290060852</v>
      </c>
      <c r="O11">
        <v>-5.13</v>
      </c>
      <c r="P11">
        <v>90</v>
      </c>
      <c r="Q11">
        <v>98.75</v>
      </c>
      <c r="R11">
        <v>290</v>
      </c>
      <c r="S11">
        <v>6</v>
      </c>
      <c r="T11">
        <v>287</v>
      </c>
      <c r="U11" s="10">
        <v>1.9855877270983999</v>
      </c>
      <c r="V11" s="9">
        <v>-1.42583658077495</v>
      </c>
      <c r="W11" s="9">
        <v>-0.71966480475250905</v>
      </c>
      <c r="X11" s="11">
        <v>119.380520836412</v>
      </c>
      <c r="Z11">
        <f t="shared" si="3"/>
        <v>-2.1265542452715067</v>
      </c>
      <c r="AB11" t="s">
        <v>46</v>
      </c>
      <c r="AC11">
        <f t="shared" si="4"/>
        <v>72.299572211332517</v>
      </c>
      <c r="AD11">
        <f t="shared" si="5"/>
        <v>24.323873543395976</v>
      </c>
      <c r="AE11">
        <f t="shared" si="6"/>
        <v>-17.700427788667483</v>
      </c>
    </row>
    <row r="12" spans="1:31" x14ac:dyDescent="0.2">
      <c r="A12">
        <v>11</v>
      </c>
      <c r="B12">
        <v>22</v>
      </c>
      <c r="C12">
        <v>44</v>
      </c>
      <c r="D12">
        <v>8.4206658899552842</v>
      </c>
      <c r="E12">
        <v>6</v>
      </c>
      <c r="F12">
        <f>C12</f>
        <v>44</v>
      </c>
      <c r="G12">
        <v>12</v>
      </c>
      <c r="H12">
        <v>50.6</v>
      </c>
      <c r="I12">
        <v>485</v>
      </c>
      <c r="J12">
        <f t="shared" si="1"/>
        <v>9.5849802371541504</v>
      </c>
      <c r="K12">
        <v>110.756479263305</v>
      </c>
      <c r="L12" s="10">
        <v>102.225129434618</v>
      </c>
      <c r="M12" t="s">
        <v>29</v>
      </c>
      <c r="N12">
        <f t="shared" si="2"/>
        <v>95.8498023715415</v>
      </c>
      <c r="O12">
        <v>-8.2899999999999991</v>
      </c>
      <c r="P12">
        <v>90</v>
      </c>
      <c r="Q12">
        <v>75.58</v>
      </c>
      <c r="R12">
        <v>270</v>
      </c>
      <c r="S12">
        <v>40</v>
      </c>
      <c r="T12">
        <v>280</v>
      </c>
      <c r="U12" s="10">
        <v>2.4192544684937101</v>
      </c>
      <c r="V12" s="9">
        <v>1.8774182360718099</v>
      </c>
      <c r="W12" s="9">
        <v>-5.5733078256022601</v>
      </c>
      <c r="X12" s="11">
        <v>100.530964914873</v>
      </c>
      <c r="Z12">
        <f t="shared" si="3"/>
        <v>26.645129434617999</v>
      </c>
      <c r="AB12" t="s">
        <v>47</v>
      </c>
      <c r="AC12">
        <f t="shared" si="4"/>
        <v>94.304468960507478</v>
      </c>
      <c r="AD12">
        <f t="shared" si="5"/>
        <v>7.9206604741105195</v>
      </c>
      <c r="AE12">
        <f t="shared" si="6"/>
        <v>4.304468960507478</v>
      </c>
    </row>
    <row r="13" spans="1:31" x14ac:dyDescent="0.2">
      <c r="A13">
        <v>12</v>
      </c>
      <c r="B13">
        <v>28</v>
      </c>
      <c r="C13">
        <v>26</v>
      </c>
      <c r="D13">
        <v>9.2340736711129452</v>
      </c>
      <c r="E13">
        <v>7.33</v>
      </c>
      <c r="F13">
        <f>C13</f>
        <v>26</v>
      </c>
      <c r="G13">
        <v>6</v>
      </c>
      <c r="H13">
        <v>98.18</v>
      </c>
      <c r="I13">
        <v>1651</v>
      </c>
      <c r="J13">
        <f t="shared" si="1"/>
        <v>16.816052149113872</v>
      </c>
      <c r="K13" s="9">
        <v>115</v>
      </c>
      <c r="L13" s="10">
        <v>90.434785932282196</v>
      </c>
      <c r="M13" t="s">
        <v>30</v>
      </c>
      <c r="N13">
        <f t="shared" si="2"/>
        <v>168.16052149113872</v>
      </c>
      <c r="O13">
        <v>0</v>
      </c>
      <c r="P13">
        <v>129.4</v>
      </c>
      <c r="Q13">
        <v>117.82</v>
      </c>
      <c r="R13">
        <v>307</v>
      </c>
      <c r="S13">
        <v>10</v>
      </c>
      <c r="T13">
        <v>300</v>
      </c>
      <c r="U13" s="10">
        <v>2.9956551187213001</v>
      </c>
      <c r="V13" s="9">
        <v>-0.76513909129671198</v>
      </c>
      <c r="W13" s="9">
        <v>-0.41769435874807798</v>
      </c>
      <c r="X13" s="11">
        <v>112.31193736583501</v>
      </c>
      <c r="Z13">
        <f t="shared" si="3"/>
        <v>-27.385214067717797</v>
      </c>
      <c r="AB13" t="s">
        <v>48</v>
      </c>
      <c r="AC13">
        <f t="shared" si="4"/>
        <v>132.53188208617129</v>
      </c>
      <c r="AD13">
        <f t="shared" si="5"/>
        <v>-42.097096153889098</v>
      </c>
      <c r="AE13">
        <f t="shared" si="6"/>
        <v>3.1318820861712879</v>
      </c>
    </row>
    <row r="14" spans="1:31" x14ac:dyDescent="0.2">
      <c r="A14">
        <v>13</v>
      </c>
      <c r="B14">
        <v>33</v>
      </c>
      <c r="C14">
        <v>34</v>
      </c>
      <c r="D14">
        <v>7.6870000000000003</v>
      </c>
      <c r="E14">
        <v>6.11</v>
      </c>
      <c r="F14">
        <v>34</v>
      </c>
      <c r="G14">
        <v>10</v>
      </c>
      <c r="H14">
        <v>56.96</v>
      </c>
      <c r="I14">
        <v>537</v>
      </c>
      <c r="J14">
        <v>9.4276685400000009</v>
      </c>
      <c r="K14" s="9">
        <v>92.5</v>
      </c>
      <c r="L14" s="10">
        <v>64.835144741682498</v>
      </c>
      <c r="M14" t="s">
        <v>31</v>
      </c>
      <c r="N14">
        <v>94.276685400000005</v>
      </c>
      <c r="O14">
        <v>1.57</v>
      </c>
      <c r="P14">
        <v>95.48</v>
      </c>
      <c r="Q14">
        <v>73.3</v>
      </c>
      <c r="R14">
        <v>283.69</v>
      </c>
      <c r="S14">
        <v>4</v>
      </c>
      <c r="T14">
        <v>279.02999999999997</v>
      </c>
      <c r="U14" s="10">
        <v>1.26303215938114</v>
      </c>
      <c r="V14" s="9">
        <v>-0.37452591840204902</v>
      </c>
      <c r="W14" s="9">
        <v>-1.7050467143208601</v>
      </c>
      <c r="X14" s="11">
        <v>164.93361431346401</v>
      </c>
      <c r="Z14">
        <f t="shared" si="3"/>
        <v>-8.464855258317499</v>
      </c>
      <c r="AB14" t="s">
        <v>49</v>
      </c>
      <c r="AC14">
        <f t="shared" si="4"/>
        <v>97.49585763972965</v>
      </c>
      <c r="AD14">
        <f t="shared" si="5"/>
        <v>-32.660712898047151</v>
      </c>
      <c r="AE14">
        <f t="shared" si="6"/>
        <v>2.0158576397296457</v>
      </c>
    </row>
    <row r="15" spans="1:31" x14ac:dyDescent="0.2">
      <c r="A15">
        <v>14</v>
      </c>
      <c r="B15">
        <v>21</v>
      </c>
      <c r="C15">
        <v>36</v>
      </c>
      <c r="D15">
        <v>8.1</v>
      </c>
      <c r="E15">
        <v>6.84</v>
      </c>
      <c r="F15">
        <v>36</v>
      </c>
      <c r="G15">
        <v>8</v>
      </c>
      <c r="H15">
        <v>43.86</v>
      </c>
      <c r="I15">
        <v>378</v>
      </c>
      <c r="J15">
        <v>8.6183310500000001</v>
      </c>
      <c r="K15" s="9">
        <v>120</v>
      </c>
      <c r="L15" s="10">
        <v>119.524126125858</v>
      </c>
      <c r="M15" t="s">
        <v>32</v>
      </c>
      <c r="N15">
        <v>86.183310500000005</v>
      </c>
      <c r="O15">
        <v>-8.82</v>
      </c>
      <c r="P15">
        <v>118.8</v>
      </c>
      <c r="Q15">
        <v>120.3</v>
      </c>
      <c r="R15">
        <v>309.41000000000003</v>
      </c>
      <c r="S15">
        <v>15</v>
      </c>
      <c r="T15">
        <v>293</v>
      </c>
      <c r="U15" s="10">
        <v>2.8913816789954199</v>
      </c>
      <c r="V15" s="9">
        <v>0.63841307239487</v>
      </c>
      <c r="W15" s="9">
        <v>-2.6108054119833102</v>
      </c>
      <c r="X15" s="11">
        <v>180.641577581413</v>
      </c>
      <c r="Z15">
        <f t="shared" si="3"/>
        <v>-0.77587387414199327</v>
      </c>
      <c r="AB15">
        <v>1.6664403698041859</v>
      </c>
      <c r="AC15">
        <f t="shared" si="4"/>
        <v>95.48</v>
      </c>
      <c r="AD15">
        <f t="shared" si="5"/>
        <v>24.044126125858</v>
      </c>
      <c r="AE15">
        <f t="shared" si="6"/>
        <v>-23.319999999999993</v>
      </c>
    </row>
    <row r="16" spans="1:31" x14ac:dyDescent="0.2">
      <c r="A16">
        <v>15</v>
      </c>
      <c r="B16">
        <v>33</v>
      </c>
      <c r="C16">
        <v>36</v>
      </c>
      <c r="D16">
        <v>9.0299999999999994</v>
      </c>
      <c r="E16">
        <v>5.64</v>
      </c>
      <c r="F16">
        <v>36</v>
      </c>
      <c r="G16">
        <v>13</v>
      </c>
      <c r="H16">
        <v>49.04</v>
      </c>
      <c r="I16">
        <v>298</v>
      </c>
      <c r="J16">
        <v>9.4423320659062107</v>
      </c>
      <c r="K16" s="9">
        <f>167.5-90</f>
        <v>77.5</v>
      </c>
      <c r="L16" s="10">
        <v>79.236549367438698</v>
      </c>
      <c r="M16" s="8">
        <v>83.211029052734304</v>
      </c>
      <c r="N16">
        <v>81.5660685</v>
      </c>
      <c r="O16">
        <v>-5</v>
      </c>
      <c r="P16">
        <v>80</v>
      </c>
      <c r="Q16">
        <v>71.03</v>
      </c>
      <c r="R16">
        <v>261.63</v>
      </c>
      <c r="S16">
        <v>12</v>
      </c>
      <c r="T16">
        <v>265</v>
      </c>
      <c r="U16" s="10">
        <v>1.89680384599731</v>
      </c>
      <c r="V16" s="9">
        <v>0.57021043653519499</v>
      </c>
      <c r="W16" s="9">
        <v>0.47492957773071198</v>
      </c>
      <c r="X16" s="11">
        <v>320.442450666159</v>
      </c>
      <c r="Z16">
        <f>L16-Q16</f>
        <v>8.2065493674386971</v>
      </c>
      <c r="AB16">
        <v>1.6549345673260603</v>
      </c>
      <c r="AC16">
        <f t="shared" si="4"/>
        <v>94.820766078092248</v>
      </c>
      <c r="AD16">
        <f t="shared" si="5"/>
        <v>-15.58421671065355</v>
      </c>
      <c r="AE16">
        <f t="shared" si="6"/>
        <v>14.820766078092248</v>
      </c>
    </row>
    <row r="23" spans="11:11" x14ac:dyDescent="0.2">
      <c r="K23" s="10"/>
    </row>
    <row r="24" spans="11:11" x14ac:dyDescent="0.2">
      <c r="K24" s="10"/>
    </row>
    <row r="25" spans="11:11" x14ac:dyDescent="0.2">
      <c r="K25" s="10"/>
    </row>
    <row r="26" spans="11:11" x14ac:dyDescent="0.2">
      <c r="K26" s="10"/>
    </row>
    <row r="27" spans="11:11" x14ac:dyDescent="0.2">
      <c r="K27" s="10"/>
    </row>
    <row r="28" spans="11:11" x14ac:dyDescent="0.2">
      <c r="K28" s="10"/>
    </row>
    <row r="29" spans="11:11" x14ac:dyDescent="0.2">
      <c r="K29" s="10"/>
    </row>
    <row r="30" spans="11:11" x14ac:dyDescent="0.2">
      <c r="K30" s="10"/>
    </row>
    <row r="31" spans="11:11" x14ac:dyDescent="0.2">
      <c r="K31" s="10"/>
    </row>
    <row r="32" spans="11:11" x14ac:dyDescent="0.2">
      <c r="K32" s="10"/>
    </row>
    <row r="33" spans="11:11" x14ac:dyDescent="0.2">
      <c r="K33" s="10"/>
    </row>
    <row r="34" spans="11:11" x14ac:dyDescent="0.2">
      <c r="K34" s="10"/>
    </row>
    <row r="35" spans="11:11" x14ac:dyDescent="0.2">
      <c r="K35" s="10"/>
    </row>
    <row r="36" spans="11:11" x14ac:dyDescent="0.2">
      <c r="K36" s="10"/>
    </row>
    <row r="37" spans="11:11" x14ac:dyDescent="0.2">
      <c r="K37" s="10"/>
    </row>
  </sheetData>
  <sortState xmlns:xlrd2="http://schemas.microsoft.com/office/spreadsheetml/2017/richdata2" ref="A2:O13">
    <sortCondition ref="A1:A1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33420-9186-C143-9BC7-F12EBDCD850D}">
  <sheetPr codeName="Sheet2"/>
  <dimension ref="A1:J13"/>
  <sheetViews>
    <sheetView workbookViewId="0">
      <selection activeCell="G2" sqref="G2"/>
    </sheetView>
  </sheetViews>
  <sheetFormatPr baseColWidth="10" defaultRowHeight="16" x14ac:dyDescent="0.2"/>
  <cols>
    <col min="4" max="4" width="12.5" customWidth="1"/>
  </cols>
  <sheetData>
    <row r="1" spans="1:10" ht="19" x14ac:dyDescent="0.25">
      <c r="A1" s="1" t="s">
        <v>0</v>
      </c>
      <c r="B1" s="1" t="s">
        <v>1</v>
      </c>
      <c r="C1" t="s">
        <v>4</v>
      </c>
      <c r="D1" t="s">
        <v>3</v>
      </c>
      <c r="E1" t="s">
        <v>9</v>
      </c>
      <c r="F1" t="s">
        <v>5</v>
      </c>
      <c r="G1" t="s">
        <v>6</v>
      </c>
      <c r="H1" t="s">
        <v>7</v>
      </c>
      <c r="I1" t="s">
        <v>8</v>
      </c>
    </row>
    <row r="2" spans="1:10" x14ac:dyDescent="0.2">
      <c r="A2" s="2">
        <v>1</v>
      </c>
      <c r="B2" s="3">
        <v>21</v>
      </c>
      <c r="C2" s="3">
        <v>12</v>
      </c>
      <c r="D2" s="3"/>
      <c r="E2" s="3"/>
      <c r="F2" s="3"/>
      <c r="G2" s="3"/>
      <c r="H2" s="3"/>
      <c r="I2" s="3"/>
      <c r="J2" s="3"/>
    </row>
    <row r="3" spans="1:10" x14ac:dyDescent="0.2">
      <c r="A3" s="4">
        <v>2</v>
      </c>
      <c r="B3" t="s">
        <v>2</v>
      </c>
      <c r="C3">
        <v>10</v>
      </c>
    </row>
    <row r="4" spans="1:10" x14ac:dyDescent="0.2">
      <c r="A4" s="5">
        <v>3</v>
      </c>
      <c r="B4" s="6">
        <v>60</v>
      </c>
      <c r="C4" s="6">
        <v>7</v>
      </c>
      <c r="D4" s="6"/>
      <c r="E4" s="6"/>
      <c r="F4" s="6"/>
      <c r="G4" s="6"/>
      <c r="H4" s="6"/>
      <c r="I4" s="6"/>
      <c r="J4" s="6"/>
    </row>
    <row r="5" spans="1:10" x14ac:dyDescent="0.2">
      <c r="A5" s="4">
        <v>4</v>
      </c>
      <c r="B5">
        <v>60</v>
      </c>
      <c r="C5">
        <v>11</v>
      </c>
    </row>
    <row r="6" spans="1:10" x14ac:dyDescent="0.2">
      <c r="A6" s="2">
        <v>5</v>
      </c>
      <c r="B6" s="3">
        <v>60</v>
      </c>
      <c r="C6" s="3">
        <v>8</v>
      </c>
      <c r="D6" s="3"/>
      <c r="E6" s="3"/>
      <c r="F6" s="3"/>
      <c r="G6" s="3"/>
      <c r="H6" s="3"/>
      <c r="I6" s="3"/>
      <c r="J6" s="3"/>
    </row>
    <row r="7" spans="1:10" x14ac:dyDescent="0.2">
      <c r="A7" s="4">
        <v>6</v>
      </c>
      <c r="B7">
        <v>37</v>
      </c>
      <c r="C7">
        <v>25</v>
      </c>
    </row>
    <row r="8" spans="1:10" x14ac:dyDescent="0.2">
      <c r="A8" s="2">
        <v>7</v>
      </c>
      <c r="B8" s="3">
        <v>22</v>
      </c>
      <c r="C8" s="3">
        <v>23</v>
      </c>
      <c r="D8" s="3"/>
      <c r="E8" s="3"/>
      <c r="F8" s="3"/>
      <c r="G8" s="3"/>
      <c r="H8" s="3"/>
      <c r="I8" s="3"/>
      <c r="J8" s="3"/>
    </row>
    <row r="9" spans="1:10" x14ac:dyDescent="0.2">
      <c r="A9" s="4">
        <v>8</v>
      </c>
      <c r="B9">
        <v>25</v>
      </c>
      <c r="C9">
        <v>27</v>
      </c>
    </row>
    <row r="10" spans="1:10" x14ac:dyDescent="0.2">
      <c r="A10" s="2">
        <v>9</v>
      </c>
      <c r="B10" s="3">
        <v>58</v>
      </c>
      <c r="C10" s="3">
        <v>13</v>
      </c>
      <c r="D10" s="3"/>
      <c r="E10" s="3"/>
      <c r="F10" s="3"/>
      <c r="G10" s="3"/>
      <c r="H10" s="3"/>
      <c r="I10" s="3"/>
      <c r="J10" s="3"/>
    </row>
    <row r="11" spans="1:10" x14ac:dyDescent="0.2">
      <c r="A11" s="4">
        <v>10</v>
      </c>
      <c r="B11">
        <v>23</v>
      </c>
      <c r="C11">
        <v>46</v>
      </c>
      <c r="E11" s="7"/>
    </row>
    <row r="12" spans="1:10" x14ac:dyDescent="0.2">
      <c r="A12" s="2">
        <v>11</v>
      </c>
      <c r="B12" s="3">
        <v>22</v>
      </c>
      <c r="C12" s="3">
        <v>44</v>
      </c>
      <c r="D12" s="3"/>
      <c r="E12" s="3"/>
      <c r="F12" s="3"/>
      <c r="G12" s="3"/>
      <c r="H12" s="3"/>
      <c r="I12" s="3"/>
      <c r="J12" s="3"/>
    </row>
    <row r="13" spans="1:10" x14ac:dyDescent="0.2">
      <c r="A13" s="4">
        <v>12</v>
      </c>
      <c r="B13">
        <v>28</v>
      </c>
      <c r="C13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Alikhan</vt:lpstr>
      <vt:lpstr>Elijah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Yeltokov, Alikhan</cp:lastModifiedBy>
  <dcterms:created xsi:type="dcterms:W3CDTF">2024-06-25T12:07:27Z</dcterms:created>
  <dcterms:modified xsi:type="dcterms:W3CDTF">2025-09-15T21:50:17Z</dcterms:modified>
</cp:coreProperties>
</file>