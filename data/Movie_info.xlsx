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yn6k/lab_github/spindle_model/data/"/>
    </mc:Choice>
  </mc:AlternateContent>
  <xr:revisionPtr revIDLastSave="0" documentId="13_ncr:1_{8B7AC162-AAAC-5B4D-B698-F5B1020C76C8}" xr6:coauthVersionLast="47" xr6:coauthVersionMax="47" xr10:uidLastSave="{00000000-0000-0000-0000-000000000000}"/>
  <bookViews>
    <workbookView xWindow="400" yWindow="1160" windowWidth="40120" windowHeight="17100" xr2:uid="{A290B85B-B0AE-B741-84A7-7A42276FFFC7}"/>
  </bookViews>
  <sheets>
    <sheet name="Alik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L7" i="1" s="1"/>
  <c r="F10" i="1"/>
  <c r="F9" i="1"/>
  <c r="F3" i="1"/>
  <c r="F4" i="1"/>
  <c r="F5" i="1"/>
  <c r="F6" i="1"/>
  <c r="F2" i="1"/>
  <c r="J6" i="1"/>
  <c r="L6" i="1" s="1"/>
  <c r="J8" i="1"/>
  <c r="L8" i="1" s="1"/>
  <c r="J9" i="1"/>
  <c r="L9" i="1" s="1"/>
  <c r="J10" i="1"/>
  <c r="L10" i="1" s="1"/>
  <c r="J5" i="1"/>
  <c r="L5" i="1" s="1"/>
  <c r="J4" i="1"/>
  <c r="L4" i="1" s="1"/>
  <c r="J3" i="1"/>
  <c r="L3" i="1" s="1"/>
  <c r="J2" i="1"/>
  <c r="L2" i="1" s="1"/>
</calcChain>
</file>

<file path=xl/sharedStrings.xml><?xml version="1.0" encoding="utf-8"?>
<sst xmlns="http://schemas.openxmlformats.org/spreadsheetml/2006/main" count="19" uniqueCount="19">
  <si>
    <t>Cell</t>
  </si>
  <si>
    <t>Spindle length</t>
  </si>
  <si>
    <t>N images</t>
  </si>
  <si>
    <t>Initial angle</t>
  </si>
  <si>
    <t>Final angle</t>
  </si>
  <si>
    <t>metaphase</t>
  </si>
  <si>
    <t>Frame rate</t>
  </si>
  <si>
    <t>anaphase onset</t>
  </si>
  <si>
    <t>y-length</t>
  </si>
  <si>
    <t>model y-length</t>
  </si>
  <si>
    <t>scale factor</t>
  </si>
  <si>
    <t>model scale factor</t>
  </si>
  <si>
    <t>y-final</t>
  </si>
  <si>
    <t>Spindle width</t>
  </si>
  <si>
    <t>Area ratio</t>
  </si>
  <si>
    <t>long axis PCA</t>
  </si>
  <si>
    <t>Cell LIE x</t>
  </si>
  <si>
    <t>Cell LIE y</t>
  </si>
  <si>
    <t>LIE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</si>
</sst>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ECC8-2C70-DF45-8D51-54107592CED7}">
  <sheetPr codeName="Sheet1"/>
  <dimension ref="A1:S13"/>
  <sheetViews>
    <sheetView tabSelected="1" zoomScale="75" zoomScaleNormal="75" workbookViewId="0">
      <selection activeCell="Y20" sqref="Y20"/>
    </sheetView>
  </sheetViews>
  <sheetFormatPr baseColWidth="10" defaultRowHeight="16" x14ac:dyDescent="0.2"/>
  <cols>
    <col min="1" max="1" width="5.6640625" customWidth="1"/>
    <col min="2" max="2" width="6" customWidth="1"/>
    <col min="3" max="3" width="5.6640625" customWidth="1"/>
    <col min="4" max="4" width="9.1640625" customWidth="1"/>
    <col min="5" max="5" width="6.83203125" customWidth="1"/>
    <col min="6" max="6" width="6" customWidth="1"/>
    <col min="7" max="7" width="4.1640625" customWidth="1"/>
    <col min="14" max="14" width="10.83203125" customWidth="1"/>
    <col min="23" max="23" width="29.5" customWidth="1"/>
    <col min="24" max="24" width="28.6640625" customWidth="1"/>
  </cols>
  <sheetData>
    <row r="1" spans="1:19" x14ac:dyDescent="0.2">
      <c r="A1" t="s">
        <v>0</v>
      </c>
      <c r="B1" t="s">
        <v>6</v>
      </c>
      <c r="C1" t="s">
        <v>2</v>
      </c>
      <c r="D1" t="s">
        <v>1</v>
      </c>
      <c r="E1" t="s">
        <v>13</v>
      </c>
      <c r="F1" t="s">
        <v>7</v>
      </c>
      <c r="G1" t="s">
        <v>5</v>
      </c>
      <c r="H1" t="s">
        <v>8</v>
      </c>
      <c r="I1" t="s">
        <v>9</v>
      </c>
      <c r="J1" t="s">
        <v>10</v>
      </c>
      <c r="K1" t="s">
        <v>15</v>
      </c>
      <c r="L1" t="s">
        <v>11</v>
      </c>
      <c r="M1" t="s">
        <v>12</v>
      </c>
      <c r="N1" t="s">
        <v>3</v>
      </c>
      <c r="O1" t="s">
        <v>4</v>
      </c>
      <c r="P1" t="s">
        <v>14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>
        <v>21</v>
      </c>
      <c r="C2">
        <v>12</v>
      </c>
      <c r="D2">
        <v>7.5890190892265705</v>
      </c>
      <c r="E2">
        <v>5.5</v>
      </c>
      <c r="F2">
        <f t="shared" ref="F2:F6" si="0">C2</f>
        <v>12</v>
      </c>
      <c r="G2">
        <v>1</v>
      </c>
      <c r="H2">
        <v>38</v>
      </c>
      <c r="I2">
        <v>124</v>
      </c>
      <c r="J2">
        <f t="shared" ref="J2:J10" si="1">I2/H2</f>
        <v>3.263157894736842</v>
      </c>
      <c r="K2" s="2">
        <v>110.114732994637</v>
      </c>
      <c r="L2">
        <f>10*J2</f>
        <v>32.631578947368418</v>
      </c>
      <c r="M2">
        <v>-7.58</v>
      </c>
      <c r="N2">
        <v>110</v>
      </c>
      <c r="O2">
        <v>110</v>
      </c>
      <c r="P2" s="2">
        <v>1.7865821352692499</v>
      </c>
      <c r="Q2" s="1">
        <v>0.75414243046572105</v>
      </c>
      <c r="R2" s="1">
        <v>-3.4539598206840001</v>
      </c>
      <c r="S2" s="3">
        <v>188.495559215388</v>
      </c>
    </row>
    <row r="3" spans="1:19" x14ac:dyDescent="0.2">
      <c r="A3">
        <v>2</v>
      </c>
      <c r="B3">
        <v>21</v>
      </c>
      <c r="C3">
        <v>10</v>
      </c>
      <c r="D3">
        <v>6.1558941078861782</v>
      </c>
      <c r="E3">
        <v>5.73</v>
      </c>
      <c r="F3">
        <f t="shared" si="0"/>
        <v>10</v>
      </c>
      <c r="G3">
        <v>1</v>
      </c>
      <c r="H3">
        <v>45.68</v>
      </c>
      <c r="I3">
        <v>148</v>
      </c>
      <c r="J3">
        <f t="shared" si="1"/>
        <v>3.2399299474605954</v>
      </c>
      <c r="K3" s="2">
        <v>99.060285272507898</v>
      </c>
      <c r="L3">
        <f>10*J3</f>
        <v>32.399299474605954</v>
      </c>
      <c r="M3">
        <v>-2.15</v>
      </c>
      <c r="N3">
        <v>90</v>
      </c>
      <c r="O3">
        <v>105</v>
      </c>
      <c r="P3" s="2">
        <v>1.81667250227872</v>
      </c>
      <c r="Q3" s="1">
        <v>-0.75338172267904702</v>
      </c>
      <c r="R3" s="1">
        <v>1.7000464233465</v>
      </c>
      <c r="S3" s="3">
        <v>113.09733552923301</v>
      </c>
    </row>
    <row r="4" spans="1:19" x14ac:dyDescent="0.2">
      <c r="A4">
        <v>3</v>
      </c>
      <c r="B4">
        <v>60</v>
      </c>
      <c r="C4">
        <v>7</v>
      </c>
      <c r="D4">
        <v>6.6</v>
      </c>
      <c r="E4">
        <v>6.6</v>
      </c>
      <c r="F4">
        <f t="shared" si="0"/>
        <v>7</v>
      </c>
      <c r="G4">
        <v>1</v>
      </c>
      <c r="H4">
        <v>67.209999999999994</v>
      </c>
      <c r="I4">
        <v>389</v>
      </c>
      <c r="J4">
        <f t="shared" si="1"/>
        <v>5.7878291920845122</v>
      </c>
      <c r="K4" s="2">
        <v>84.948412892249706</v>
      </c>
      <c r="L4">
        <f>10*J4</f>
        <v>57.878291920845122</v>
      </c>
      <c r="M4">
        <v>-6.77</v>
      </c>
      <c r="N4">
        <v>90</v>
      </c>
      <c r="O4">
        <v>103</v>
      </c>
      <c r="P4" s="2">
        <v>4.3895468000173201</v>
      </c>
      <c r="Q4" s="1">
        <v>1.0280123612663099</v>
      </c>
      <c r="R4" s="1">
        <v>-2.1882022532363701</v>
      </c>
      <c r="S4" s="3">
        <v>120.16591899981</v>
      </c>
    </row>
    <row r="5" spans="1:19" x14ac:dyDescent="0.2">
      <c r="A5">
        <v>4</v>
      </c>
      <c r="B5">
        <v>60</v>
      </c>
      <c r="C5">
        <v>8</v>
      </c>
      <c r="D5">
        <v>8.7456235365226735</v>
      </c>
      <c r="E5">
        <v>5</v>
      </c>
      <c r="F5">
        <f t="shared" si="0"/>
        <v>8</v>
      </c>
      <c r="G5">
        <v>1</v>
      </c>
      <c r="H5">
        <v>51.07</v>
      </c>
      <c r="I5">
        <v>293</v>
      </c>
      <c r="J5">
        <f t="shared" si="1"/>
        <v>5.7372234188368907</v>
      </c>
      <c r="K5" s="2">
        <v>106.52650172739099</v>
      </c>
      <c r="L5">
        <f>10*J5</f>
        <v>57.372234188368907</v>
      </c>
      <c r="M5">
        <v>-5.9</v>
      </c>
      <c r="N5">
        <v>103.78</v>
      </c>
      <c r="O5">
        <v>115.41</v>
      </c>
      <c r="P5" s="2">
        <v>2.4140624260864798</v>
      </c>
      <c r="Q5" s="1">
        <v>1.3813064334690099</v>
      </c>
      <c r="R5" s="1">
        <v>-3.0065436359619899</v>
      </c>
      <c r="S5" s="3">
        <v>100.530964914873</v>
      </c>
    </row>
    <row r="6" spans="1:19" x14ac:dyDescent="0.2">
      <c r="A6">
        <v>5</v>
      </c>
      <c r="B6">
        <v>22</v>
      </c>
      <c r="C6">
        <v>23</v>
      </c>
      <c r="D6">
        <v>7.8525361587160036</v>
      </c>
      <c r="E6">
        <v>6.08</v>
      </c>
      <c r="F6">
        <f t="shared" si="0"/>
        <v>23</v>
      </c>
      <c r="G6">
        <v>1</v>
      </c>
      <c r="H6">
        <v>31.45</v>
      </c>
      <c r="I6">
        <v>263</v>
      </c>
      <c r="J6">
        <f t="shared" si="1"/>
        <v>8.362480127186009</v>
      </c>
      <c r="K6" s="2">
        <v>92.9537065221635</v>
      </c>
      <c r="L6">
        <f>10*J6</f>
        <v>83.624801271860093</v>
      </c>
      <c r="M6">
        <v>-11.91</v>
      </c>
      <c r="N6">
        <v>90</v>
      </c>
      <c r="O6">
        <v>90</v>
      </c>
      <c r="P6" s="2">
        <v>2.9209565779043301</v>
      </c>
      <c r="Q6" s="1">
        <v>-0.84499680193868398</v>
      </c>
      <c r="R6" s="1">
        <v>-7.1115687447960001</v>
      </c>
      <c r="S6" s="3">
        <v>155.508836352695</v>
      </c>
    </row>
    <row r="7" spans="1:19" x14ac:dyDescent="0.2">
      <c r="A7">
        <v>6</v>
      </c>
      <c r="B7">
        <v>58</v>
      </c>
      <c r="C7">
        <v>13</v>
      </c>
      <c r="D7">
        <v>7.7252451061031167</v>
      </c>
      <c r="E7">
        <v>6.43</v>
      </c>
      <c r="F7">
        <v>12</v>
      </c>
      <c r="G7">
        <v>3</v>
      </c>
      <c r="H7">
        <v>45.57</v>
      </c>
      <c r="I7">
        <v>766</v>
      </c>
      <c r="J7">
        <f t="shared" si="1"/>
        <v>16.809304366908055</v>
      </c>
      <c r="K7" s="2">
        <v>107.118004339908</v>
      </c>
      <c r="L7">
        <f>10*J7</f>
        <v>168.09304366908054</v>
      </c>
      <c r="M7">
        <v>3.81</v>
      </c>
      <c r="N7">
        <v>128.16</v>
      </c>
      <c r="O7">
        <v>107.05</v>
      </c>
      <c r="P7" s="2">
        <v>0.64931352898688499</v>
      </c>
      <c r="Q7" s="1">
        <v>-2.2489168743788399</v>
      </c>
      <c r="R7" s="1">
        <v>3.2845661783166502</v>
      </c>
      <c r="S7" s="3">
        <v>120.16591899981</v>
      </c>
    </row>
    <row r="8" spans="1:19" x14ac:dyDescent="0.2">
      <c r="A8">
        <v>7</v>
      </c>
      <c r="B8">
        <v>23</v>
      </c>
      <c r="C8">
        <v>46</v>
      </c>
      <c r="D8" s="1">
        <v>6.7109750000000004</v>
      </c>
      <c r="E8">
        <v>5.37</v>
      </c>
      <c r="F8">
        <v>43</v>
      </c>
      <c r="G8">
        <v>7</v>
      </c>
      <c r="H8">
        <v>39.44</v>
      </c>
      <c r="I8">
        <v>331</v>
      </c>
      <c r="J8">
        <f t="shared" si="1"/>
        <v>8.3924949290060855</v>
      </c>
      <c r="K8" s="2">
        <v>96.623445754728493</v>
      </c>
      <c r="L8">
        <f>10*J8</f>
        <v>83.924949290060852</v>
      </c>
      <c r="M8">
        <v>-5.13</v>
      </c>
      <c r="N8">
        <v>90</v>
      </c>
      <c r="O8">
        <v>98.75</v>
      </c>
      <c r="P8" s="2">
        <v>1.9855877270983999</v>
      </c>
      <c r="Q8" s="1">
        <v>-1.42583658077495</v>
      </c>
      <c r="R8" s="1">
        <v>-0.71966480475250905</v>
      </c>
      <c r="S8" s="3">
        <v>119.380520836412</v>
      </c>
    </row>
    <row r="9" spans="1:19" x14ac:dyDescent="0.2">
      <c r="A9">
        <v>8</v>
      </c>
      <c r="B9">
        <v>22</v>
      </c>
      <c r="C9">
        <v>44</v>
      </c>
      <c r="D9">
        <v>8.4206658899552842</v>
      </c>
      <c r="E9">
        <v>6</v>
      </c>
      <c r="F9">
        <f>C9</f>
        <v>44</v>
      </c>
      <c r="G9">
        <v>12</v>
      </c>
      <c r="H9">
        <v>50.6</v>
      </c>
      <c r="I9">
        <v>485</v>
      </c>
      <c r="J9">
        <f t="shared" si="1"/>
        <v>9.5849802371541504</v>
      </c>
      <c r="K9" s="2">
        <v>102.225129434618</v>
      </c>
      <c r="L9">
        <f>10*J9</f>
        <v>95.8498023715415</v>
      </c>
      <c r="M9">
        <v>-8.2899999999999991</v>
      </c>
      <c r="N9">
        <v>90</v>
      </c>
      <c r="O9">
        <v>75.58</v>
      </c>
      <c r="P9" s="2">
        <v>2.4192544684937101</v>
      </c>
      <c r="Q9" s="1">
        <v>1.8774182360718099</v>
      </c>
      <c r="R9" s="1">
        <v>-5.5733078256022601</v>
      </c>
      <c r="S9" s="3">
        <v>100.530964914873</v>
      </c>
    </row>
    <row r="10" spans="1:19" x14ac:dyDescent="0.2">
      <c r="A10">
        <v>9</v>
      </c>
      <c r="B10">
        <v>28</v>
      </c>
      <c r="C10">
        <v>26</v>
      </c>
      <c r="D10">
        <v>9.2340736711129452</v>
      </c>
      <c r="E10">
        <v>7.33</v>
      </c>
      <c r="F10">
        <f>C10</f>
        <v>26</v>
      </c>
      <c r="G10">
        <v>6</v>
      </c>
      <c r="H10">
        <v>98.18</v>
      </c>
      <c r="I10">
        <v>1651</v>
      </c>
      <c r="J10">
        <f t="shared" si="1"/>
        <v>16.816052149113872</v>
      </c>
      <c r="K10" s="2">
        <v>90.434785932282196</v>
      </c>
      <c r="L10">
        <f>10*J10</f>
        <v>168.16052149113872</v>
      </c>
      <c r="M10">
        <v>0</v>
      </c>
      <c r="N10">
        <v>129.4</v>
      </c>
      <c r="O10">
        <v>117.82</v>
      </c>
      <c r="P10" s="2">
        <v>2.9956551187213001</v>
      </c>
      <c r="Q10" s="1">
        <v>-0.76513909129671198</v>
      </c>
      <c r="R10" s="1">
        <v>-0.41769435874807798</v>
      </c>
      <c r="S10" s="3">
        <v>112.31193736583501</v>
      </c>
    </row>
    <row r="11" spans="1:19" x14ac:dyDescent="0.2">
      <c r="A11">
        <v>10</v>
      </c>
      <c r="B11">
        <v>33</v>
      </c>
      <c r="C11">
        <v>34</v>
      </c>
      <c r="D11">
        <v>7.6870000000000003</v>
      </c>
      <c r="E11">
        <v>6.11</v>
      </c>
      <c r="F11">
        <v>34</v>
      </c>
      <c r="G11">
        <v>10</v>
      </c>
      <c r="H11">
        <v>56.96</v>
      </c>
      <c r="I11">
        <v>537</v>
      </c>
      <c r="J11">
        <v>9.4276685400000009</v>
      </c>
      <c r="K11" s="2">
        <v>64.835144741682498</v>
      </c>
      <c r="L11">
        <v>94.276685400000005</v>
      </c>
      <c r="M11">
        <v>1.57</v>
      </c>
      <c r="N11">
        <v>95.48</v>
      </c>
      <c r="O11">
        <v>73.3</v>
      </c>
      <c r="P11" s="2">
        <v>1.26303215938114</v>
      </c>
      <c r="Q11" s="1">
        <v>-0.37452591840204902</v>
      </c>
      <c r="R11" s="1">
        <v>-1.7050467143208601</v>
      </c>
      <c r="S11" s="3">
        <v>164.93361431346401</v>
      </c>
    </row>
    <row r="12" spans="1:19" x14ac:dyDescent="0.2">
      <c r="A12">
        <v>11</v>
      </c>
      <c r="B12">
        <v>21</v>
      </c>
      <c r="C12">
        <v>36</v>
      </c>
      <c r="D12">
        <v>8.1</v>
      </c>
      <c r="E12">
        <v>6.84</v>
      </c>
      <c r="F12">
        <v>36</v>
      </c>
      <c r="G12">
        <v>8</v>
      </c>
      <c r="H12">
        <v>43.86</v>
      </c>
      <c r="I12">
        <v>378</v>
      </c>
      <c r="J12">
        <v>8.6183310500000001</v>
      </c>
      <c r="K12" s="2">
        <v>119.524126125858</v>
      </c>
      <c r="L12">
        <v>86.183310500000005</v>
      </c>
      <c r="M12">
        <v>-8.82</v>
      </c>
      <c r="N12">
        <v>118.8</v>
      </c>
      <c r="O12">
        <v>120.3</v>
      </c>
      <c r="P12" s="2">
        <v>2.8913816789954199</v>
      </c>
      <c r="Q12" s="1">
        <v>0.63841307239487</v>
      </c>
      <c r="R12" s="1">
        <v>-2.6108054119833102</v>
      </c>
      <c r="S12" s="3">
        <v>180.641577581413</v>
      </c>
    </row>
    <row r="13" spans="1:19" x14ac:dyDescent="0.2">
      <c r="A13">
        <v>12</v>
      </c>
      <c r="B13">
        <v>33</v>
      </c>
      <c r="C13">
        <v>36</v>
      </c>
      <c r="D13">
        <v>9.0299999999999994</v>
      </c>
      <c r="E13">
        <v>5.64</v>
      </c>
      <c r="F13">
        <v>36</v>
      </c>
      <c r="G13">
        <v>13</v>
      </c>
      <c r="H13">
        <v>49.04</v>
      </c>
      <c r="I13">
        <v>298</v>
      </c>
      <c r="J13">
        <v>9.4423320659062107</v>
      </c>
      <c r="K13" s="2">
        <v>79.236549367438698</v>
      </c>
      <c r="L13">
        <v>81.5660685</v>
      </c>
      <c r="M13">
        <v>-5</v>
      </c>
      <c r="N13">
        <v>80</v>
      </c>
      <c r="O13">
        <v>71.03</v>
      </c>
      <c r="P13" s="2">
        <v>1.89680384599731</v>
      </c>
      <c r="Q13" s="1">
        <v>0.57021043653519499</v>
      </c>
      <c r="R13" s="1">
        <v>0.47492957773071198</v>
      </c>
      <c r="S13" s="3">
        <v>320.442450666159</v>
      </c>
    </row>
  </sheetData>
  <sortState xmlns:xlrd2="http://schemas.microsoft.com/office/spreadsheetml/2017/richdata2" ref="A2:M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Alikhan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Yeltokov, Alikhan</cp:lastModifiedBy>
  <dcterms:created xsi:type="dcterms:W3CDTF">2024-06-25T12:07:27Z</dcterms:created>
  <dcterms:modified xsi:type="dcterms:W3CDTF">2025-11-06T16:39:11Z</dcterms:modified>
</cp:coreProperties>
</file>